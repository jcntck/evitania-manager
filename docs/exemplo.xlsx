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tania V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<sst xmlns="http://schemas.openxmlformats.org/spreadsheetml/2006/main" count="49" uniqueCount="30">
  <si>
    <t xml:space="preserve">Planejador</t>
  </si>
  <si>
    <t xml:space="preserve">Item</t>
  </si>
  <si>
    <t xml:space="preserve">Qtd</t>
  </si>
  <si>
    <t xml:space="preserve">Etapa 1</t>
  </si>
  <si>
    <t xml:space="preserve">Etapa 2</t>
  </si>
  <si>
    <t xml:space="preserve">Tempo estimado (Etapa 1)</t>
  </si>
  <si>
    <t xml:space="preserve">Tempo estimado (Etapa 2)</t>
  </si>
  <si>
    <t xml:space="preserve">Tempo estimado (Total)</t>
  </si>
  <si>
    <t xml:space="preserve">Cajado de aço</t>
  </si>
  <si>
    <t xml:space="preserve">Minério de ferro</t>
  </si>
  <si>
    <t xml:space="preserve">Barra de aço</t>
  </si>
  <si>
    <t xml:space="preserve">Chifre de aço</t>
  </si>
  <si>
    <t xml:space="preserve">Tronco de Freixo</t>
  </si>
  <si>
    <t xml:space="preserve">Essência Nórdica</t>
  </si>
  <si>
    <t xml:space="preserve">Receitas</t>
  </si>
  <si>
    <t xml:space="preserve">Fundição</t>
  </si>
  <si>
    <t xml:space="preserve">Minérios &amp; Lenhas</t>
  </si>
  <si>
    <t xml:space="preserve">Drops</t>
  </si>
  <si>
    <t xml:space="preserve">Drops de Bosses</t>
  </si>
  <si>
    <t xml:space="preserve">Nome</t>
  </si>
  <si>
    <t xml:space="preserve">Materiais</t>
  </si>
  <si>
    <t xml:space="preserve">Itens/h</t>
  </si>
  <si>
    <t xml:space="preserve">Mob(s)</t>
  </si>
  <si>
    <t xml:space="preserve">Taxa de Saque (1 item a cada X abates)</t>
  </si>
  <si>
    <t xml:space="preserve">Abate/h</t>
  </si>
  <si>
    <t xml:space="preserve">Boss</t>
  </si>
  <si>
    <t xml:space="preserve">Chifre de Dragão</t>
  </si>
  <si>
    <t xml:space="preserve">Minério de Ferro</t>
  </si>
  <si>
    <t xml:space="preserve">Javali de Gelo; Elmo; Fanstasma</t>
  </si>
  <si>
    <t xml:space="preserve">Yrsainir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</si>
</sst>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[h]:mm:ss"/>
    <numFmt numFmtId="167" formatCode="#,##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double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0" width="15.13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3"/>
      <c r="L1" s="2"/>
      <c r="M1" s="2"/>
      <c r="N1" s="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9.55" hidden="false" customHeight="false" outlineLevel="0" collapsed="false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3"/>
      <c r="I2" s="2"/>
      <c r="J2" s="2"/>
      <c r="K2" s="3"/>
      <c r="L2" s="2"/>
      <c r="M2" s="2"/>
      <c r="N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customFormat="false" ht="26.85" hidden="false" customHeight="true" outlineLevel="0" collapsed="false">
      <c r="A3" s="1" t="s">
        <v>8</v>
      </c>
      <c r="B3" s="5" t="n">
        <v>1</v>
      </c>
      <c r="C3" s="7" t="s">
        <v>9</v>
      </c>
      <c r="D3" s="7" t="s">
        <v>10</v>
      </c>
      <c r="E3" s="7" t="s">
        <v>9</v>
      </c>
      <c r="F3" s="7" t="s">
        <v>11</v>
      </c>
      <c r="G3" s="8" t="n">
        <f aca="false">E4+E6+F6</f>
        <v>0.30219022745831</v>
      </c>
      <c r="H3" s="2"/>
      <c r="I3" s="2"/>
      <c r="J3" s="2"/>
      <c r="K3" s="3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6"/>
    </row>
    <row r="4" customFormat="false" ht="15.75" hidden="false" customHeight="false" outlineLevel="0" collapsed="false">
      <c r="A4" s="1"/>
      <c r="B4" s="1"/>
      <c r="C4" s="9" t="n">
        <f aca="false">H13*D4</f>
        <v>1500</v>
      </c>
      <c r="D4" s="9" t="n">
        <f aca="false">B13*B3</f>
        <v>300</v>
      </c>
      <c r="E4" s="10" t="n">
        <f aca="false">(C4/N12)/24</f>
        <v>0.0466766243465273</v>
      </c>
      <c r="F4" s="11" t="n">
        <f aca="false">D6/W12</f>
        <v>10</v>
      </c>
      <c r="G4" s="8"/>
      <c r="H4" s="2"/>
      <c r="I4" s="2"/>
      <c r="J4" s="2"/>
      <c r="K4" s="3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6"/>
    </row>
    <row r="5" customFormat="false" ht="26.85" hidden="false" customHeight="false" outlineLevel="0" collapsed="false">
      <c r="A5" s="1"/>
      <c r="B5" s="1"/>
      <c r="C5" s="7" t="s">
        <v>12</v>
      </c>
      <c r="D5" s="7" t="s">
        <v>11</v>
      </c>
      <c r="E5" s="7" t="s">
        <v>12</v>
      </c>
      <c r="F5" s="7" t="s">
        <v>13</v>
      </c>
      <c r="G5" s="8"/>
      <c r="H5" s="3"/>
      <c r="I5" s="3"/>
      <c r="J5" s="3"/>
      <c r="K5" s="3"/>
      <c r="L5" s="3"/>
      <c r="M5" s="3"/>
      <c r="N5" s="3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"/>
      <c r="B6" s="1"/>
      <c r="C6" s="9" t="n">
        <f aca="false">I13*D4</f>
        <v>2400</v>
      </c>
      <c r="D6" s="9" t="n">
        <f aca="false">B3*C13</f>
        <v>10</v>
      </c>
      <c r="E6" s="10" t="n">
        <f aca="false">(C6/N13)/24</f>
        <v>0.0831946755407654</v>
      </c>
      <c r="F6" s="10" t="n">
        <f aca="false">(R12/S12*D8)/24</f>
        <v>0.172318927571028</v>
      </c>
      <c r="G6" s="8"/>
      <c r="H6" s="3"/>
      <c r="I6" s="2"/>
      <c r="J6" s="3"/>
      <c r="K6" s="3"/>
      <c r="L6" s="3"/>
      <c r="M6" s="3"/>
      <c r="N6" s="3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6.85" hidden="false" customHeight="false" outlineLevel="0" collapsed="false">
      <c r="A7" s="1"/>
      <c r="B7" s="1"/>
      <c r="C7" s="7"/>
      <c r="D7" s="7" t="s">
        <v>13</v>
      </c>
      <c r="E7" s="7"/>
      <c r="F7" s="7"/>
      <c r="G7" s="8"/>
      <c r="H7" s="2"/>
      <c r="I7" s="2"/>
      <c r="J7" s="2"/>
      <c r="K7" s="3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1"/>
      <c r="B8" s="1"/>
      <c r="C8" s="9"/>
      <c r="D8" s="9" t="n">
        <f aca="false">B3*D13</f>
        <v>1</v>
      </c>
      <c r="E8" s="9"/>
      <c r="F8" s="9"/>
      <c r="G8" s="8"/>
      <c r="H8" s="2"/>
      <c r="I8" s="2"/>
      <c r="J8" s="2"/>
      <c r="K8" s="3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12"/>
      <c r="B9" s="2"/>
      <c r="C9" s="3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7.35" hidden="false" customHeight="true" outlineLevel="0" collapsed="false">
      <c r="A10" s="13" t="s">
        <v>14</v>
      </c>
      <c r="B10" s="13"/>
      <c r="C10" s="13"/>
      <c r="D10" s="13"/>
      <c r="E10" s="13"/>
      <c r="F10" s="14"/>
      <c r="G10" s="13" t="s">
        <v>15</v>
      </c>
      <c r="H10" s="13"/>
      <c r="I10" s="13"/>
      <c r="J10" s="13"/>
      <c r="K10" s="13"/>
      <c r="L10" s="2"/>
      <c r="M10" s="13" t="s">
        <v>16</v>
      </c>
      <c r="N10" s="13"/>
      <c r="O10" s="3"/>
      <c r="P10" s="15" t="s">
        <v>17</v>
      </c>
      <c r="Q10" s="15"/>
      <c r="R10" s="15"/>
      <c r="S10" s="15"/>
      <c r="T10" s="3"/>
      <c r="U10" s="1" t="s">
        <v>18</v>
      </c>
      <c r="V10" s="1"/>
      <c r="W10" s="1"/>
      <c r="X10" s="3"/>
      <c r="Y10" s="3"/>
      <c r="Z10" s="3"/>
    </row>
    <row r="11" customFormat="false" ht="52.2" hidden="false" customHeight="true" outlineLevel="0" collapsed="false">
      <c r="A11" s="13" t="s">
        <v>19</v>
      </c>
      <c r="B11" s="16" t="s">
        <v>20</v>
      </c>
      <c r="C11" s="16"/>
      <c r="D11" s="16"/>
      <c r="E11" s="16"/>
      <c r="F11" s="17"/>
      <c r="G11" s="16" t="s">
        <v>19</v>
      </c>
      <c r="H11" s="16" t="s">
        <v>20</v>
      </c>
      <c r="I11" s="16"/>
      <c r="J11" s="16"/>
      <c r="K11" s="16"/>
      <c r="L11" s="17"/>
      <c r="M11" s="16" t="s">
        <v>19</v>
      </c>
      <c r="N11" s="16" t="s">
        <v>21</v>
      </c>
      <c r="O11" s="3"/>
      <c r="P11" s="1" t="s">
        <v>19</v>
      </c>
      <c r="Q11" s="1" t="s">
        <v>22</v>
      </c>
      <c r="R11" s="1" t="s">
        <v>23</v>
      </c>
      <c r="S11" s="1" t="s">
        <v>24</v>
      </c>
      <c r="T11" s="3"/>
      <c r="U11" s="1" t="s">
        <v>19</v>
      </c>
      <c r="V11" s="1" t="s">
        <v>25</v>
      </c>
      <c r="W11" s="1" t="s">
        <v>23</v>
      </c>
      <c r="X11" s="3"/>
      <c r="Y11" s="3"/>
      <c r="Z11" s="3"/>
    </row>
    <row r="12" customFormat="false" ht="39.55" hidden="false" customHeight="true" outlineLevel="0" collapsed="false">
      <c r="A12" s="1" t="s">
        <v>8</v>
      </c>
      <c r="B12" s="18" t="s">
        <v>10</v>
      </c>
      <c r="C12" s="18" t="s">
        <v>26</v>
      </c>
      <c r="D12" s="18" t="s">
        <v>13</v>
      </c>
      <c r="E12" s="18"/>
      <c r="F12" s="2"/>
      <c r="G12" s="1" t="s">
        <v>10</v>
      </c>
      <c r="H12" s="18" t="s">
        <v>9</v>
      </c>
      <c r="I12" s="18" t="s">
        <v>12</v>
      </c>
      <c r="J12" s="18"/>
      <c r="K12" s="18"/>
      <c r="L12" s="2"/>
      <c r="M12" s="5" t="s">
        <v>27</v>
      </c>
      <c r="N12" s="5" t="n">
        <v>1339</v>
      </c>
      <c r="O12" s="3"/>
      <c r="P12" s="5" t="s">
        <v>13</v>
      </c>
      <c r="Q12" s="5" t="s">
        <v>28</v>
      </c>
      <c r="R12" s="1" t="n">
        <v>6890</v>
      </c>
      <c r="S12" s="5" t="n">
        <v>1666</v>
      </c>
      <c r="T12" s="3"/>
      <c r="U12" s="5" t="s">
        <v>26</v>
      </c>
      <c r="V12" s="1" t="s">
        <v>29</v>
      </c>
      <c r="W12" s="1" t="n">
        <v>1</v>
      </c>
      <c r="X12" s="3"/>
      <c r="Y12" s="3"/>
      <c r="Z12" s="3"/>
    </row>
    <row r="13" customFormat="false" ht="26.85" hidden="false" customHeight="false" outlineLevel="0" collapsed="false">
      <c r="A13" s="1"/>
      <c r="B13" s="9" t="n">
        <v>300</v>
      </c>
      <c r="C13" s="9" t="n">
        <v>10</v>
      </c>
      <c r="D13" s="9" t="n">
        <v>1</v>
      </c>
      <c r="E13" s="9"/>
      <c r="F13" s="2"/>
      <c r="G13" s="1"/>
      <c r="H13" s="9" t="n">
        <v>5</v>
      </c>
      <c r="I13" s="9" t="n">
        <v>8</v>
      </c>
      <c r="J13" s="9"/>
      <c r="K13" s="9"/>
      <c r="L13" s="2"/>
      <c r="M13" s="5" t="s">
        <v>12</v>
      </c>
      <c r="N13" s="5" t="n">
        <v>1202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12"/>
      <c r="B14" s="19"/>
      <c r="C14" s="19"/>
      <c r="D14" s="2"/>
      <c r="E14" s="2"/>
      <c r="F14" s="2"/>
      <c r="G14" s="2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21"/>
      <c r="B15" s="21"/>
      <c r="C15" s="21"/>
      <c r="D15" s="21"/>
      <c r="E15" s="21"/>
      <c r="F15" s="21"/>
      <c r="G15" s="2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12"/>
      <c r="B16" s="19"/>
      <c r="C16" s="19"/>
      <c r="D16" s="2"/>
      <c r="E16" s="2"/>
      <c r="F16" s="2"/>
      <c r="G16" s="2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21"/>
      <c r="B17" s="21"/>
      <c r="C17" s="21"/>
      <c r="D17" s="21"/>
      <c r="E17" s="21"/>
      <c r="F17" s="21"/>
      <c r="G17" s="2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12"/>
      <c r="B18" s="19"/>
      <c r="C18" s="19"/>
      <c r="D18" s="2"/>
      <c r="E18" s="2"/>
      <c r="F18" s="2"/>
      <c r="G18" s="2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12"/>
      <c r="B19" s="19"/>
      <c r="C19" s="19"/>
      <c r="D19" s="2"/>
      <c r="E19" s="2"/>
      <c r="F19" s="2"/>
      <c r="G19" s="2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X20" s="3"/>
      <c r="Y20" s="3"/>
      <c r="Z20" s="3"/>
    </row>
    <row r="21" customFormat="false" ht="15.75" hidden="false" customHeight="false" outlineLevel="0" collapsed="false">
      <c r="X21" s="3"/>
      <c r="Y21" s="3"/>
      <c r="Z21" s="3"/>
    </row>
    <row r="22" customFormat="false" ht="15.75" hidden="false" customHeight="false" outlineLevel="0" collapsed="false">
      <c r="X22" s="3"/>
      <c r="Y22" s="3"/>
      <c r="Z22" s="3"/>
    </row>
    <row r="23" customFormat="false" ht="15.75" hidden="false" customHeight="false" outlineLevel="0" collapsed="false">
      <c r="X23" s="3"/>
      <c r="Y23" s="3"/>
      <c r="Z23" s="3"/>
    </row>
    <row r="24" customFormat="false" ht="15.75" hidden="false" customHeight="false" outlineLevel="0" collapsed="false">
      <c r="X24" s="3"/>
      <c r="Y24" s="3"/>
      <c r="Z24" s="3"/>
    </row>
    <row r="25" customFormat="false" ht="15.75" hidden="false" customHeight="false" outlineLevel="0" collapsed="false">
      <c r="X25" s="3"/>
      <c r="Y25" s="3"/>
      <c r="Z25" s="3"/>
    </row>
    <row r="26" customFormat="false" ht="15.75" hidden="false" customHeight="false" outlineLevel="0" collapsed="false">
      <c r="A26" s="12"/>
      <c r="B26" s="19"/>
      <c r="C26" s="19"/>
      <c r="D26" s="2"/>
      <c r="E26" s="2"/>
      <c r="F26" s="2"/>
      <c r="G26" s="2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21"/>
      <c r="B27" s="21"/>
      <c r="C27" s="21"/>
      <c r="D27" s="21"/>
      <c r="E27" s="21"/>
      <c r="F27" s="21"/>
      <c r="G27" s="2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12"/>
      <c r="B28" s="19"/>
      <c r="C28" s="19"/>
      <c r="D28" s="12"/>
      <c r="E28" s="2"/>
      <c r="F28" s="2"/>
      <c r="G28" s="1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12"/>
      <c r="B29" s="19"/>
      <c r="C29" s="19"/>
      <c r="D29" s="12"/>
      <c r="E29" s="2"/>
      <c r="F29" s="2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7.35" hidden="false" customHeight="false" outlineLevel="0" collapsed="false">
      <c r="A30" s="22"/>
      <c r="B30" s="22"/>
      <c r="C30" s="22"/>
      <c r="D30" s="22"/>
      <c r="E30" s="22"/>
      <c r="F30" s="22"/>
      <c r="G30" s="2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7.35" hidden="false" customHeight="false" outlineLevel="0" collapsed="false">
      <c r="A31" s="14"/>
      <c r="B31" s="23"/>
      <c r="C31" s="23"/>
      <c r="D31" s="14"/>
      <c r="E31" s="17"/>
      <c r="F31" s="17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7.35" hidden="false" customHeight="false" outlineLevel="0" collapsed="false">
      <c r="A32" s="14"/>
      <c r="B32" s="23"/>
      <c r="C32" s="23"/>
      <c r="D32" s="14"/>
      <c r="E32" s="17"/>
      <c r="F32" s="17"/>
      <c r="G32" s="2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7.35" hidden="false" customHeight="false" outlineLevel="0" collapsed="false">
      <c r="A33" s="22"/>
      <c r="B33" s="22"/>
      <c r="C33" s="22"/>
      <c r="D33" s="22"/>
      <c r="E33" s="22"/>
      <c r="F33" s="22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7.35" hidden="false" customHeight="false" outlineLevel="0" collapsed="false">
      <c r="A34" s="14"/>
      <c r="B34" s="23"/>
      <c r="C34" s="23"/>
      <c r="D34" s="17"/>
      <c r="E34" s="17"/>
      <c r="F34" s="17"/>
      <c r="G34" s="2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22"/>
      <c r="B35" s="22"/>
      <c r="C35" s="22"/>
      <c r="D35" s="22"/>
      <c r="E35" s="22"/>
      <c r="F35" s="22"/>
      <c r="G35" s="2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14"/>
      <c r="B36" s="23"/>
      <c r="C36" s="23"/>
      <c r="D36" s="17"/>
      <c r="E36" s="17"/>
      <c r="F36" s="17"/>
      <c r="G36" s="2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0">
    <mergeCell ref="A1:G1"/>
    <mergeCell ref="A3:A8"/>
    <mergeCell ref="B3:B8"/>
    <mergeCell ref="G3:G8"/>
    <mergeCell ref="A10:E10"/>
    <mergeCell ref="G10:K10"/>
    <mergeCell ref="M10:N10"/>
    <mergeCell ref="P10:S10"/>
    <mergeCell ref="U10:W10"/>
    <mergeCell ref="B11:E11"/>
    <mergeCell ref="H11:K11"/>
    <mergeCell ref="A12:A13"/>
    <mergeCell ref="G12:G13"/>
    <mergeCell ref="B14:C14"/>
    <mergeCell ref="A15:G15"/>
    <mergeCell ref="B16:C16"/>
    <mergeCell ref="A17:G17"/>
    <mergeCell ref="B18:C18"/>
    <mergeCell ref="B19:C19"/>
    <mergeCell ref="B26:C26"/>
    <mergeCell ref="A27:G27"/>
    <mergeCell ref="B28:C28"/>
    <mergeCell ref="B29:C29"/>
    <mergeCell ref="A30:G30"/>
    <mergeCell ref="B31:C31"/>
    <mergeCell ref="B32:C32"/>
    <mergeCell ref="A33:G33"/>
    <mergeCell ref="B34:C34"/>
    <mergeCell ref="A35:G35"/>
    <mergeCell ref="B36:C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2026-07-19T17:21:00Z</dcterms:modified>
  <cp:revision>1</cp:revision>
  <dc:subject/>
  <dc:title/>
</cp:coreProperties>
</file>